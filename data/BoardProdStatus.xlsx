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dempsey\OEM SHOP\CORRESPONDENCE\Engineering CORRES\"/>
    </mc:Choice>
  </mc:AlternateContent>
  <xr:revisionPtr revIDLastSave="0" documentId="8_{33DF4CF2-7B91-47A3-B7A8-FC1361768844}" xr6:coauthVersionLast="47" xr6:coauthVersionMax="47" xr10:uidLastSave="{00000000-0000-0000-0000-000000000000}"/>
  <bookViews>
    <workbookView xWindow="-110" yWindow="-110" windowWidth="38620" windowHeight="21100" xr2:uid="{277DA5A0-8F19-4F29-85F3-6980EE3C1291}"/>
  </bookViews>
  <sheets>
    <sheet name="Sheet1" sheetId="1" r:id="rId1"/>
    <sheet name="Sheet2" sheetId="2" r:id="rId2"/>
  </sheets>
  <definedNames>
    <definedName name="_xlnm.Print_Area" localSheetId="0">Sheet1!$A$1:$P$79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1" l="1"/>
  <c r="K59" i="1"/>
  <c r="K56" i="1" l="1"/>
  <c r="K57" i="1"/>
  <c r="K33" i="1" l="1"/>
  <c r="K35" i="1"/>
  <c r="K36" i="1"/>
  <c r="K37" i="1"/>
  <c r="K32" i="1"/>
  <c r="K31" i="1"/>
  <c r="K29" i="1"/>
  <c r="K30" i="1"/>
  <c r="K55" i="1"/>
</calcChain>
</file>

<file path=xl/sharedStrings.xml><?xml version="1.0" encoding="utf-8"?>
<sst xmlns="http://schemas.openxmlformats.org/spreadsheetml/2006/main" count="197" uniqueCount="113">
  <si>
    <t>In Current Production:</t>
  </si>
  <si>
    <t>Finishing Design Completion:</t>
  </si>
  <si>
    <r>
      <t>601 Lafayette</t>
    </r>
    <r>
      <rPr>
        <sz val="12"/>
        <color theme="1"/>
        <rFont val="Calibri"/>
        <family val="2"/>
      </rPr>
      <t xml:space="preserve"> (24-028):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</si>
  <si>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HSW1 (Sections 1-6)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</si>
  <si>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HSW2 (Sections 1-4)</t>
    </r>
  </si>
  <si>
    <r>
      <t>Waldorf Astoria Miami</t>
    </r>
    <r>
      <rPr>
        <sz val="12"/>
        <color theme="1"/>
        <rFont val="Calibri"/>
        <family val="2"/>
      </rPr>
      <t xml:space="preserve"> (24-005):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</si>
  <si>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V.MSBH (Sections 1-2)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</si>
  <si>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GDP (Sections 1-5)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</si>
  <si>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R/MSBH (Section 1)</t>
    </r>
  </si>
  <si>
    <r>
      <t>Paseo South Gulch Tower 2</t>
    </r>
    <r>
      <rPr>
        <sz val="12"/>
        <color theme="1"/>
        <rFont val="Calibri"/>
        <family val="2"/>
      </rPr>
      <t xml:space="preserve"> (25-054):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</si>
  <si>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MC-14 (Section 1)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</si>
  <si>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MC-22 (Section 1)</t>
    </r>
  </si>
  <si>
    <r>
      <t>Phillips Point</t>
    </r>
    <r>
      <rPr>
        <sz val="12"/>
        <color theme="1"/>
        <rFont val="Calibri"/>
        <family val="2"/>
      </rPr>
      <t xml:space="preserve"> (25-098):</t>
    </r>
  </si>
  <si>
    <r>
      <t>710 Edge</t>
    </r>
    <r>
      <rPr>
        <sz val="12"/>
        <color theme="1"/>
        <rFont val="Calibri"/>
        <family val="2"/>
      </rPr>
      <t xml:space="preserve"> (24-012):</t>
    </r>
  </si>
  <si>
    <r>
      <t>Four Seasons – Las Vegas</t>
    </r>
    <r>
      <rPr>
        <sz val="12"/>
        <color theme="1"/>
        <rFont val="Calibri"/>
        <family val="2"/>
      </rPr>
      <t xml:space="preserve"> (24-088):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</si>
  <si>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N-MSBHA (Sections 1-3)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</si>
  <si>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N-GSBHA (Sections 1-3)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</si>
  <si>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S-MSBHA (Sections 1-3)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</si>
  <si>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S-GSBHA (Sections 1-4)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</si>
  <si>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C-MSBHA (Sections 1-4)</t>
    </r>
  </si>
  <si>
    <r>
      <t>-</t>
    </r>
    <r>
      <rPr>
        <sz val="7"/>
        <color theme="1"/>
        <rFont val="Calibri"/>
        <family val="2"/>
      </rPr>
      <t xml:space="preserve">          </t>
    </r>
    <r>
      <rPr>
        <sz val="12"/>
        <color theme="1"/>
        <rFont val="Calibri"/>
        <family val="2"/>
      </rPr>
      <t>C-GSBHA (Sections 1-4)</t>
    </r>
  </si>
  <si>
    <r>
      <t>Henry Tower One</t>
    </r>
    <r>
      <rPr>
        <sz val="12"/>
        <color theme="1"/>
        <rFont val="Calibri"/>
        <family val="2"/>
      </rPr>
      <t xml:space="preserve"> (25-051):</t>
    </r>
  </si>
  <si>
    <r>
      <t>Culpepper at TAMU</t>
    </r>
    <r>
      <rPr>
        <sz val="12"/>
        <color theme="1"/>
        <rFont val="Calibri"/>
        <family val="2"/>
      </rPr>
      <t xml:space="preserve"> (25-135):</t>
    </r>
  </si>
  <si>
    <r>
      <t>Gasworx E3</t>
    </r>
    <r>
      <rPr>
        <sz val="12"/>
        <color theme="1"/>
        <rFont val="Calibri"/>
        <family val="2"/>
      </rPr>
      <t xml:space="preserve"> (25-050):</t>
    </r>
  </si>
  <si>
    <r>
      <t>Island of Westbay</t>
    </r>
    <r>
      <rPr>
        <sz val="12"/>
        <color theme="1"/>
        <rFont val="Calibri"/>
        <family val="2"/>
      </rPr>
      <t xml:space="preserve"> (25-181):</t>
    </r>
  </si>
  <si>
    <r>
      <t>Catawba College</t>
    </r>
    <r>
      <rPr>
        <sz val="12"/>
        <color theme="1"/>
        <rFont val="Calibri"/>
        <family val="2"/>
      </rPr>
      <t xml:space="preserve"> (25-179):</t>
    </r>
  </si>
  <si>
    <r>
      <t>The Edge Sarasota</t>
    </r>
    <r>
      <rPr>
        <sz val="12"/>
        <color theme="1"/>
        <rFont val="Calibri"/>
        <family val="2"/>
      </rPr>
      <t xml:space="preserve"> (25-027):</t>
    </r>
  </si>
  <si>
    <t>Engineer</t>
  </si>
  <si>
    <t>Emmanuel</t>
  </si>
  <si>
    <t>Shannon</t>
  </si>
  <si>
    <t>NOTES</t>
  </si>
  <si>
    <t>Niel</t>
  </si>
  <si>
    <t>Jacob Jagger</t>
  </si>
  <si>
    <t>Optima</t>
  </si>
  <si>
    <t>250 Church (fka 201 Boyett)</t>
  </si>
  <si>
    <t>The Creamery</t>
  </si>
  <si>
    <t>Neil</t>
  </si>
  <si>
    <t>5 Days for this design</t>
  </si>
  <si>
    <t>Santander Tower</t>
  </si>
  <si>
    <t>Cherry Lane (fka Cherry Creek) Replacement Board</t>
  </si>
  <si>
    <t>ETA start 9/26/25</t>
  </si>
  <si>
    <t>ETA start 9/26/26</t>
  </si>
  <si>
    <t>ETA start 9/26/27</t>
  </si>
  <si>
    <t>Sections</t>
  </si>
  <si>
    <t>Bentley</t>
  </si>
  <si>
    <t>Due on Site</t>
  </si>
  <si>
    <t xml:space="preserve">DIFFICULTY </t>
  </si>
  <si>
    <t>Board Description</t>
  </si>
  <si>
    <t>Quantity</t>
  </si>
  <si>
    <t>Swbds</t>
  </si>
  <si>
    <t>DESIGN START</t>
  </si>
  <si>
    <t>Design Completed</t>
  </si>
  <si>
    <t>Production START</t>
  </si>
  <si>
    <t>Production Completed</t>
  </si>
  <si>
    <t># Design Days</t>
  </si>
  <si>
    <t># Production Days</t>
  </si>
  <si>
    <t xml:space="preserve">BASED on </t>
  </si>
  <si>
    <t>20 wk LEAD TIME</t>
  </si>
  <si>
    <t>2</t>
  </si>
  <si>
    <t>3</t>
  </si>
  <si>
    <t>4</t>
  </si>
  <si>
    <t>5</t>
  </si>
  <si>
    <t>6</t>
  </si>
  <si>
    <t>1</t>
  </si>
  <si>
    <t xml:space="preserve">HARD </t>
  </si>
  <si>
    <r>
      <rPr>
        <sz val="7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EMSB-7 (Sections 1-6)</t>
    </r>
  </si>
  <si>
    <t>MSB-TEMP (Sections 1-2)</t>
  </si>
  <si>
    <t>4000a bus 2000a MCB Cable In Top</t>
  </si>
  <si>
    <t>4000a bus 4000a MCB Bus In Top</t>
  </si>
  <si>
    <t>Medium</t>
  </si>
  <si>
    <t>1600a Bus Distribution Section</t>
  </si>
  <si>
    <t>EASY</t>
  </si>
  <si>
    <t>HSB-1 (Section 1)</t>
  </si>
  <si>
    <t>TSB-1 (Sections 1-5)</t>
  </si>
  <si>
    <t>HSB-7 (Section 1)</t>
  </si>
  <si>
    <r>
      <rPr>
        <sz val="7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MSB-1 (Sections 1-5)</t>
    </r>
  </si>
  <si>
    <t>Prioritize BUILD</t>
  </si>
  <si>
    <t>Easy</t>
  </si>
  <si>
    <t>4000a bus 4000a MCB Bus In Top REAR</t>
  </si>
  <si>
    <t>MHSB (Sections 1-3)</t>
  </si>
  <si>
    <t>MCSB-1 (Section 1)</t>
  </si>
  <si>
    <t>MCSB-2 (Section 1)</t>
  </si>
  <si>
    <t>Ampacity</t>
  </si>
  <si>
    <t>2000a Pull Section and dist. Section</t>
  </si>
  <si>
    <t>MSBL1(Sections 1-2)</t>
  </si>
  <si>
    <t>MSBH1B (Sections 1-2)</t>
  </si>
  <si>
    <r>
      <rPr>
        <sz val="7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MSBH1A (Sections 1-2)</t>
    </r>
  </si>
  <si>
    <t>MSBL2 (Sections 1-2)</t>
  </si>
  <si>
    <t>MSBA (Sections 1-2)</t>
  </si>
  <si>
    <t>MSBH (Sections 1-3)</t>
  </si>
  <si>
    <t>MSBE (Sections 1-2)</t>
  </si>
  <si>
    <t>MDS (Sections 1-2)</t>
  </si>
  <si>
    <t>OSDP (Section 1)</t>
  </si>
  <si>
    <t>R1 (Section 1)</t>
  </si>
  <si>
    <t>2000a Pull Section 2000a MCB</t>
  </si>
  <si>
    <t>MSBL3 (Sections 1-3)</t>
  </si>
  <si>
    <t>MSBR-N (Sections 1-2)</t>
  </si>
  <si>
    <t>MSBR-S (Sections 1-2)</t>
  </si>
  <si>
    <t>MSBH (Sections 1-4)</t>
  </si>
  <si>
    <t>SB-RES-LW (Sections 1-2)</t>
  </si>
  <si>
    <r>
      <rPr>
        <sz val="7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SB-RES-UW (Sections 1-2)</t>
    </r>
  </si>
  <si>
    <t>SB-RES-UE (Sections 1-2)</t>
  </si>
  <si>
    <t>SB-RES-LE (Sections 1-2)</t>
  </si>
  <si>
    <r>
      <rPr>
        <sz val="7"/>
        <color theme="1"/>
        <rFont val="Calibri"/>
        <family val="2"/>
      </rPr>
      <t xml:space="preserve"> LL2</t>
    </r>
    <r>
      <rPr>
        <sz val="12"/>
        <color theme="1"/>
        <rFont val="Calibri"/>
        <family val="2"/>
      </rPr>
      <t>-BSWBD-1 (Sections 1-5)</t>
    </r>
  </si>
  <si>
    <t>ONE PARK QUAY</t>
  </si>
  <si>
    <t>Approval Date</t>
  </si>
  <si>
    <t>MSSB-A</t>
  </si>
  <si>
    <t>(3) section 3000a bus 3000a MCB Stab Fed Bottom</t>
  </si>
  <si>
    <t>MSSB-B</t>
  </si>
  <si>
    <t>MSSB-C</t>
  </si>
  <si>
    <t>(3) section 2500a bus  MLO Stab Fed Bottom</t>
  </si>
  <si>
    <t>HDSB</t>
  </si>
  <si>
    <t>(3) section 2000a bus 2000a MCB Stab Fed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</si>
</sst>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Calibri"/>
      <family val="2"/>
    </font>
    <font>
      <u/>
      <sz val="12"/>
      <color theme="1"/>
      <name val="Calibri"/>
      <family val="2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name val="Aptos Narrow"/>
      <family val="2"/>
      <scheme val="minor"/>
    </font>
    <font>
      <b/>
      <i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2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/>
    </xf>
    <xf numFmtId="0" fontId="3" fillId="0" borderId="0" xfId="0" applyFont="1" applyFill="1" applyAlignment="1">
      <alignment horizontal="left" vertical="center" indent="6"/>
    </xf>
    <xf numFmtId="0" fontId="1" fillId="0" borderId="0" xfId="0" applyFont="1" applyFill="1"/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/>
    <xf numFmtId="0" fontId="12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0" borderId="0" xfId="0" applyFont="1" applyAlignment="1"/>
    <xf numFmtId="1" fontId="8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8" fillId="0" borderId="0" xfId="0" applyNumberFormat="1" applyFont="1" applyAlignment="1"/>
    <xf numFmtId="1" fontId="8" fillId="0" borderId="0" xfId="0" applyNumberFormat="1" applyFont="1" applyAlignment="1">
      <alignment horizontal="center" vertical="center" wrapText="1"/>
    </xf>
    <xf numFmtId="1" fontId="1" fillId="0" borderId="0" xfId="0" applyNumberFormat="1" applyFont="1" applyFill="1" applyAlignment="1">
      <alignment horizontal="center"/>
    </xf>
    <xf numFmtId="1" fontId="1" fillId="0" borderId="0" xfId="0" applyNumberFormat="1" applyFont="1" applyAlignment="1"/>
    <xf numFmtId="14" fontId="1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B3BA-103E-4A21-8E10-0BECD5B8F9B8}">
  <dimension ref="A2:Q73"/>
  <sheetViews>
    <sheetView tabSelected="1" zoomScaleNormal="100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J59" sqref="J59"/>
    </sheetView>
  </sheetViews>
  <sheetFormatPr defaultRowHeight="14.5" x14ac:dyDescent="0.35"/>
  <cols>
    <col min="1" max="1" width="53.1796875" style="1" customWidth="1"/>
    <col min="2" max="2" width="44.54296875" style="21" customWidth="1"/>
    <col min="3" max="3" width="12.54296875" style="21" customWidth="1"/>
    <col min="4" max="4" width="13" style="21" customWidth="1"/>
    <col min="5" max="5" width="10.54296875" style="36" customWidth="1"/>
    <col min="6" max="6" width="10.6328125" style="42" customWidth="1"/>
    <col min="7" max="7" width="12.6328125" style="6" customWidth="1"/>
    <col min="8" max="8" width="15.81640625" style="21" customWidth="1"/>
    <col min="9" max="9" width="15.54296875" style="6" customWidth="1"/>
    <col min="10" max="10" width="15.7265625" style="6" customWidth="1"/>
    <col min="11" max="11" width="15.7265625" style="39" customWidth="1"/>
    <col min="12" max="12" width="15.7265625" style="6" customWidth="1"/>
    <col min="13" max="14" width="15.1796875" style="6" customWidth="1"/>
    <col min="15" max="15" width="15.6328125" style="1" customWidth="1"/>
    <col min="16" max="16" width="47.90625" style="1" customWidth="1"/>
    <col min="17" max="16384" width="8.7265625" style="1"/>
  </cols>
  <sheetData>
    <row r="2" spans="1:17" x14ac:dyDescent="0.35">
      <c r="O2" s="29" t="s">
        <v>56</v>
      </c>
    </row>
    <row r="3" spans="1:17" ht="18.5" x14ac:dyDescent="0.45">
      <c r="E3" s="31" t="s">
        <v>48</v>
      </c>
      <c r="F3" s="31"/>
      <c r="I3" s="23"/>
      <c r="J3" s="23"/>
      <c r="K3" s="40"/>
      <c r="L3" s="23"/>
      <c r="M3" s="7"/>
      <c r="N3" s="7"/>
      <c r="O3" s="29" t="s">
        <v>57</v>
      </c>
    </row>
    <row r="4" spans="1:17" s="26" customFormat="1" ht="37" x14ac:dyDescent="0.35">
      <c r="A4" s="25" t="s">
        <v>0</v>
      </c>
      <c r="B4" s="28" t="s">
        <v>47</v>
      </c>
      <c r="C4" s="28" t="s">
        <v>105</v>
      </c>
      <c r="D4" s="28" t="s">
        <v>82</v>
      </c>
      <c r="E4" s="34" t="s">
        <v>49</v>
      </c>
      <c r="F4" s="32" t="s">
        <v>43</v>
      </c>
      <c r="G4" s="25" t="s">
        <v>27</v>
      </c>
      <c r="H4" s="28" t="s">
        <v>46</v>
      </c>
      <c r="I4" s="25" t="s">
        <v>50</v>
      </c>
      <c r="J4" s="25" t="s">
        <v>51</v>
      </c>
      <c r="K4" s="41" t="s">
        <v>54</v>
      </c>
      <c r="L4" s="25" t="s">
        <v>52</v>
      </c>
      <c r="M4" s="25" t="s">
        <v>53</v>
      </c>
      <c r="N4" s="25" t="s">
        <v>55</v>
      </c>
      <c r="O4" s="25" t="s">
        <v>45</v>
      </c>
      <c r="P4" s="25" t="s">
        <v>30</v>
      </c>
      <c r="Q4" s="22"/>
    </row>
    <row r="5" spans="1:17" ht="15.5" x14ac:dyDescent="0.35">
      <c r="A5" s="13" t="s">
        <v>2</v>
      </c>
      <c r="B5" s="27"/>
      <c r="C5" s="27"/>
      <c r="D5" s="27"/>
      <c r="E5" s="37"/>
      <c r="F5" s="35"/>
      <c r="H5" s="27"/>
      <c r="I5" s="21"/>
      <c r="J5" s="21"/>
      <c r="K5" s="42"/>
    </row>
    <row r="6" spans="1:17" ht="15.5" x14ac:dyDescent="0.35">
      <c r="A6" s="14" t="s">
        <v>3</v>
      </c>
      <c r="B6" s="19"/>
      <c r="C6" s="19"/>
      <c r="D6" s="19"/>
      <c r="E6" s="35"/>
      <c r="F6" s="35"/>
      <c r="H6" s="19"/>
      <c r="I6" s="21"/>
      <c r="J6" s="21"/>
      <c r="K6" s="42"/>
    </row>
    <row r="7" spans="1:17" ht="15.5" x14ac:dyDescent="0.35">
      <c r="A7" s="14" t="s">
        <v>4</v>
      </c>
      <c r="B7" s="19"/>
      <c r="C7" s="19"/>
      <c r="D7" s="19"/>
      <c r="E7" s="35"/>
      <c r="F7" s="35"/>
      <c r="H7" s="19"/>
      <c r="I7" s="21"/>
      <c r="J7" s="21"/>
      <c r="K7" s="42"/>
    </row>
    <row r="8" spans="1:17" ht="15.5" x14ac:dyDescent="0.35">
      <c r="A8" s="13" t="s">
        <v>5</v>
      </c>
      <c r="B8" s="27"/>
      <c r="C8" s="27"/>
      <c r="D8" s="27"/>
      <c r="E8" s="37"/>
      <c r="F8" s="35"/>
      <c r="H8" s="27"/>
      <c r="I8" s="21"/>
      <c r="J8" s="21"/>
      <c r="K8" s="42"/>
    </row>
    <row r="9" spans="1:17" ht="15.5" x14ac:dyDescent="0.35">
      <c r="A9" s="14" t="s">
        <v>6</v>
      </c>
      <c r="B9" s="19"/>
      <c r="C9" s="19"/>
      <c r="D9" s="19"/>
      <c r="E9" s="35"/>
      <c r="F9" s="35"/>
      <c r="H9" s="19"/>
      <c r="I9" s="21"/>
      <c r="J9" s="21"/>
      <c r="K9" s="42"/>
    </row>
    <row r="10" spans="1:17" ht="15.5" x14ac:dyDescent="0.35">
      <c r="A10" s="14" t="s">
        <v>7</v>
      </c>
      <c r="B10" s="19"/>
      <c r="C10" s="19"/>
      <c r="D10" s="19"/>
      <c r="E10" s="35"/>
      <c r="F10" s="35"/>
      <c r="H10" s="19"/>
      <c r="I10" s="21"/>
      <c r="J10" s="21"/>
      <c r="K10" s="42"/>
    </row>
    <row r="11" spans="1:17" ht="15.5" x14ac:dyDescent="0.35">
      <c r="A11" s="14" t="s">
        <v>8</v>
      </c>
      <c r="B11" s="19"/>
      <c r="C11" s="19"/>
      <c r="D11" s="19"/>
      <c r="E11" s="35"/>
      <c r="F11" s="35"/>
      <c r="H11" s="19"/>
      <c r="I11" s="21"/>
      <c r="J11" s="21"/>
      <c r="K11" s="42"/>
    </row>
    <row r="12" spans="1:17" ht="15.5" x14ac:dyDescent="0.35">
      <c r="A12" s="13" t="s">
        <v>9</v>
      </c>
      <c r="B12" s="27"/>
      <c r="C12" s="27"/>
      <c r="D12" s="27"/>
      <c r="E12" s="37"/>
      <c r="F12" s="35"/>
      <c r="H12" s="27"/>
      <c r="I12" s="21"/>
      <c r="J12" s="21"/>
      <c r="K12" s="42"/>
    </row>
    <row r="13" spans="1:17" ht="15.5" x14ac:dyDescent="0.35">
      <c r="A13" s="14" t="s">
        <v>10</v>
      </c>
      <c r="B13" s="19"/>
      <c r="C13" s="19"/>
      <c r="D13" s="19"/>
      <c r="E13" s="35"/>
      <c r="F13" s="35"/>
      <c r="H13" s="19"/>
      <c r="I13" s="21"/>
      <c r="J13" s="21"/>
      <c r="K13" s="42"/>
    </row>
    <row r="14" spans="1:17" ht="15.5" x14ac:dyDescent="0.35">
      <c r="A14" s="14" t="s">
        <v>11</v>
      </c>
      <c r="B14" s="19"/>
      <c r="C14" s="19"/>
      <c r="D14" s="19"/>
      <c r="E14" s="35"/>
      <c r="F14" s="35"/>
      <c r="H14" s="19"/>
      <c r="I14" s="21"/>
      <c r="J14" s="21"/>
      <c r="K14" s="42"/>
    </row>
    <row r="15" spans="1:17" ht="15.5" x14ac:dyDescent="0.35">
      <c r="A15" s="3"/>
      <c r="B15" s="19"/>
      <c r="C15" s="19"/>
      <c r="D15" s="19"/>
      <c r="E15" s="35"/>
      <c r="F15" s="35"/>
      <c r="H15" s="19"/>
    </row>
    <row r="16" spans="1:17" ht="18.5" x14ac:dyDescent="0.35">
      <c r="A16" s="5" t="s">
        <v>1</v>
      </c>
      <c r="B16" s="17"/>
      <c r="C16" s="17"/>
      <c r="D16" s="17"/>
      <c r="E16" s="35"/>
      <c r="F16" s="35"/>
      <c r="H16" s="17"/>
    </row>
    <row r="17" spans="1:16" ht="15.5" x14ac:dyDescent="0.35">
      <c r="A17" s="4" t="s">
        <v>13</v>
      </c>
      <c r="B17" s="27"/>
      <c r="C17" s="27"/>
      <c r="D17" s="27"/>
      <c r="E17" s="35"/>
      <c r="F17" s="35"/>
      <c r="H17" s="27"/>
    </row>
    <row r="18" spans="1:16" ht="15.5" x14ac:dyDescent="0.35">
      <c r="A18" s="9" t="s">
        <v>79</v>
      </c>
      <c r="B18" s="19"/>
      <c r="C18" s="19"/>
      <c r="D18" s="19"/>
      <c r="E18" s="35"/>
      <c r="F18" s="35"/>
      <c r="G18" s="6" t="s">
        <v>28</v>
      </c>
      <c r="H18" s="19"/>
      <c r="I18" s="8">
        <v>45910</v>
      </c>
      <c r="J18" s="8"/>
      <c r="P18" s="1" t="s">
        <v>40</v>
      </c>
    </row>
    <row r="19" spans="1:16" ht="15.5" x14ac:dyDescent="0.35">
      <c r="A19" s="9" t="s">
        <v>80</v>
      </c>
      <c r="B19" s="19"/>
      <c r="C19" s="19"/>
      <c r="D19" s="19"/>
      <c r="E19" s="35"/>
      <c r="F19" s="35"/>
      <c r="G19" s="6" t="s">
        <v>28</v>
      </c>
      <c r="H19" s="19"/>
      <c r="I19" s="8">
        <v>45910</v>
      </c>
      <c r="J19" s="8"/>
      <c r="P19" s="1" t="s">
        <v>41</v>
      </c>
    </row>
    <row r="20" spans="1:16" ht="15.5" x14ac:dyDescent="0.35">
      <c r="A20" s="9" t="s">
        <v>81</v>
      </c>
      <c r="B20" s="19"/>
      <c r="C20" s="19"/>
      <c r="D20" s="19"/>
      <c r="E20" s="35"/>
      <c r="F20" s="35"/>
      <c r="G20" s="6" t="s">
        <v>28</v>
      </c>
      <c r="H20" s="19"/>
      <c r="I20" s="8">
        <v>45910</v>
      </c>
      <c r="J20" s="8"/>
      <c r="P20" s="1" t="s">
        <v>42</v>
      </c>
    </row>
    <row r="21" spans="1:16" ht="15.5" x14ac:dyDescent="0.35">
      <c r="A21" s="2" t="s">
        <v>14</v>
      </c>
      <c r="B21" s="27"/>
      <c r="C21" s="27"/>
      <c r="D21" s="27"/>
      <c r="E21" s="35"/>
      <c r="F21" s="35"/>
      <c r="H21" s="27"/>
    </row>
    <row r="22" spans="1:16" ht="15.5" x14ac:dyDescent="0.35">
      <c r="A22" s="14" t="s">
        <v>15</v>
      </c>
      <c r="B22" s="19"/>
      <c r="C22" s="19"/>
      <c r="D22" s="19"/>
      <c r="E22" s="35"/>
      <c r="F22" s="35"/>
      <c r="G22" s="6" t="s">
        <v>28</v>
      </c>
      <c r="H22" s="19"/>
      <c r="I22" s="8">
        <v>45894</v>
      </c>
      <c r="J22" s="8"/>
      <c r="L22" s="8"/>
      <c r="M22" s="8"/>
      <c r="N22" s="8"/>
    </row>
    <row r="23" spans="1:16" ht="15.5" x14ac:dyDescent="0.35">
      <c r="A23" s="14" t="s">
        <v>16</v>
      </c>
      <c r="B23" s="19"/>
      <c r="C23" s="19"/>
      <c r="D23" s="19"/>
      <c r="E23" s="35"/>
      <c r="F23" s="35"/>
      <c r="G23" s="6" t="s">
        <v>28</v>
      </c>
      <c r="H23" s="19"/>
      <c r="I23" s="8">
        <v>45894</v>
      </c>
      <c r="J23" s="8"/>
      <c r="L23" s="8">
        <v>45923</v>
      </c>
      <c r="M23" s="8"/>
      <c r="N23" s="8"/>
    </row>
    <row r="24" spans="1:16" ht="15.5" x14ac:dyDescent="0.35">
      <c r="A24" s="14" t="s">
        <v>17</v>
      </c>
      <c r="B24" s="19"/>
      <c r="C24" s="19"/>
      <c r="D24" s="19"/>
      <c r="E24" s="35"/>
      <c r="F24" s="35"/>
      <c r="G24" s="6" t="s">
        <v>28</v>
      </c>
      <c r="H24" s="19"/>
      <c r="I24" s="8">
        <v>45894</v>
      </c>
      <c r="J24" s="8"/>
      <c r="L24" s="8"/>
      <c r="M24" s="8"/>
      <c r="N24" s="8"/>
    </row>
    <row r="25" spans="1:16" ht="15.5" x14ac:dyDescent="0.35">
      <c r="A25" s="14" t="s">
        <v>18</v>
      </c>
      <c r="B25" s="19"/>
      <c r="C25" s="19"/>
      <c r="D25" s="19"/>
      <c r="E25" s="35"/>
      <c r="F25" s="35"/>
      <c r="G25" s="6" t="s">
        <v>28</v>
      </c>
      <c r="H25" s="19"/>
      <c r="I25" s="8">
        <v>45894</v>
      </c>
      <c r="J25" s="8"/>
      <c r="L25" s="8">
        <v>45923</v>
      </c>
      <c r="M25" s="8"/>
      <c r="N25" s="8"/>
    </row>
    <row r="26" spans="1:16" ht="15.5" x14ac:dyDescent="0.35">
      <c r="A26" s="14" t="s">
        <v>19</v>
      </c>
      <c r="B26" s="19"/>
      <c r="C26" s="19"/>
      <c r="D26" s="19"/>
      <c r="E26" s="35"/>
      <c r="F26" s="35"/>
      <c r="G26" s="6" t="s">
        <v>28</v>
      </c>
      <c r="H26" s="19"/>
      <c r="I26" s="8">
        <v>45894</v>
      </c>
      <c r="J26" s="8"/>
      <c r="L26" s="8">
        <v>45923</v>
      </c>
      <c r="M26" s="8"/>
      <c r="N26" s="8"/>
    </row>
    <row r="27" spans="1:16" ht="15.5" x14ac:dyDescent="0.35">
      <c r="A27" s="14" t="s">
        <v>20</v>
      </c>
      <c r="B27" s="19"/>
      <c r="C27" s="19"/>
      <c r="D27" s="19"/>
      <c r="E27" s="35"/>
      <c r="F27" s="35"/>
      <c r="G27" s="6" t="s">
        <v>28</v>
      </c>
      <c r="H27" s="19"/>
      <c r="I27" s="8">
        <v>45894</v>
      </c>
      <c r="J27" s="8"/>
      <c r="L27" s="8">
        <v>45923</v>
      </c>
      <c r="M27" s="8"/>
      <c r="N27" s="8"/>
    </row>
    <row r="28" spans="1:16" ht="15.5" x14ac:dyDescent="0.35">
      <c r="A28" s="18" t="s">
        <v>21</v>
      </c>
      <c r="B28" s="27"/>
      <c r="C28" s="27"/>
      <c r="D28" s="27"/>
      <c r="E28" s="35"/>
      <c r="F28" s="35"/>
      <c r="G28" s="27"/>
      <c r="H28" s="27"/>
      <c r="I28" s="10"/>
      <c r="J28" s="10"/>
      <c r="K28" s="10"/>
      <c r="L28" s="10"/>
      <c r="M28" s="10"/>
      <c r="N28" s="10"/>
      <c r="O28" s="10"/>
    </row>
    <row r="29" spans="1:16" ht="15.5" x14ac:dyDescent="0.35">
      <c r="A29" s="15" t="s">
        <v>99</v>
      </c>
      <c r="B29" s="19"/>
      <c r="C29" s="19"/>
      <c r="D29" s="19"/>
      <c r="E29" s="35"/>
      <c r="F29" s="35"/>
      <c r="G29" s="6" t="s">
        <v>29</v>
      </c>
      <c r="H29" s="19"/>
      <c r="I29" s="8">
        <v>45890</v>
      </c>
      <c r="J29" s="8">
        <v>45910</v>
      </c>
      <c r="K29" s="39">
        <f>_xlfn.DAYS(J29,I29)</f>
        <v>20</v>
      </c>
    </row>
    <row r="30" spans="1:16" ht="15.5" x14ac:dyDescent="0.35">
      <c r="A30" s="15" t="s">
        <v>100</v>
      </c>
      <c r="B30" s="19"/>
      <c r="C30" s="19"/>
      <c r="D30" s="19"/>
      <c r="E30" s="35" t="s">
        <v>63</v>
      </c>
      <c r="F30" s="35" t="s">
        <v>58</v>
      </c>
      <c r="G30" s="6" t="s">
        <v>31</v>
      </c>
      <c r="H30" s="19"/>
      <c r="I30" s="8">
        <v>45889</v>
      </c>
      <c r="J30" s="8">
        <v>45901</v>
      </c>
      <c r="K30" s="39">
        <f>_xlfn.DAYS(J30,I30)</f>
        <v>12</v>
      </c>
    </row>
    <row r="31" spans="1:16" ht="15.5" x14ac:dyDescent="0.35">
      <c r="A31" s="15" t="s">
        <v>101</v>
      </c>
      <c r="B31" s="19"/>
      <c r="C31" s="19"/>
      <c r="D31" s="19"/>
      <c r="E31" s="35" t="s">
        <v>63</v>
      </c>
      <c r="F31" s="35" t="s">
        <v>58</v>
      </c>
      <c r="G31" s="6" t="s">
        <v>31</v>
      </c>
      <c r="H31" s="19"/>
      <c r="I31" s="8">
        <v>45887</v>
      </c>
      <c r="J31" s="8">
        <v>45901</v>
      </c>
      <c r="K31" s="39">
        <f>_xlfn.DAYS(J31,I31)</f>
        <v>14</v>
      </c>
    </row>
    <row r="32" spans="1:16" ht="15.5" x14ac:dyDescent="0.35">
      <c r="A32" s="15" t="s">
        <v>102</v>
      </c>
      <c r="B32" s="19"/>
      <c r="C32" s="19"/>
      <c r="D32" s="19"/>
      <c r="E32" s="35" t="s">
        <v>63</v>
      </c>
      <c r="F32" s="35" t="s">
        <v>58</v>
      </c>
      <c r="G32" s="6" t="s">
        <v>31</v>
      </c>
      <c r="H32" s="19"/>
      <c r="I32" s="8">
        <v>45896</v>
      </c>
      <c r="J32" s="8">
        <v>45901</v>
      </c>
      <c r="K32" s="39">
        <f>_xlfn.DAYS(J32,I32)</f>
        <v>5</v>
      </c>
    </row>
    <row r="33" spans="1:16" ht="15.5" x14ac:dyDescent="0.35">
      <c r="A33" s="15" t="s">
        <v>103</v>
      </c>
      <c r="B33" s="19"/>
      <c r="C33" s="19"/>
      <c r="D33" s="19"/>
      <c r="E33" s="35"/>
      <c r="F33" s="35"/>
      <c r="G33" s="6" t="s">
        <v>28</v>
      </c>
      <c r="H33" s="19"/>
      <c r="I33" s="8">
        <v>45898</v>
      </c>
      <c r="J33" s="8"/>
      <c r="K33" s="39">
        <f t="shared" ref="K33:K37" si="0">_xlfn.DAYS(J33,I33)</f>
        <v>-45898</v>
      </c>
      <c r="L33" s="8">
        <v>45925</v>
      </c>
      <c r="M33" s="8"/>
      <c r="N33" s="8"/>
    </row>
    <row r="34" spans="1:16" ht="15.5" x14ac:dyDescent="0.35">
      <c r="A34" s="18" t="s">
        <v>22</v>
      </c>
      <c r="B34" s="27"/>
      <c r="C34" s="27"/>
      <c r="D34" s="27"/>
      <c r="E34" s="35"/>
      <c r="F34" s="35"/>
      <c r="G34" s="27"/>
      <c r="H34" s="27"/>
      <c r="I34" s="30"/>
      <c r="J34" s="30"/>
      <c r="L34" s="30"/>
      <c r="M34" s="30"/>
      <c r="N34" s="30"/>
      <c r="O34" s="30"/>
    </row>
    <row r="35" spans="1:16" ht="15.5" x14ac:dyDescent="0.35">
      <c r="A35" s="15" t="s">
        <v>96</v>
      </c>
      <c r="B35" s="19"/>
      <c r="C35" s="19"/>
      <c r="D35" s="19"/>
      <c r="E35" s="35" t="s">
        <v>63</v>
      </c>
      <c r="F35" s="35" t="s">
        <v>58</v>
      </c>
      <c r="G35" s="6" t="s">
        <v>36</v>
      </c>
      <c r="H35" s="19"/>
      <c r="I35" s="44">
        <v>45908</v>
      </c>
      <c r="J35" s="44">
        <v>45909</v>
      </c>
      <c r="K35" s="39">
        <f t="shared" si="0"/>
        <v>1</v>
      </c>
    </row>
    <row r="36" spans="1:16" ht="15.5" x14ac:dyDescent="0.35">
      <c r="A36" s="15" t="s">
        <v>97</v>
      </c>
      <c r="B36" s="19"/>
      <c r="C36" s="19"/>
      <c r="D36" s="19"/>
      <c r="E36" s="35" t="s">
        <v>63</v>
      </c>
      <c r="F36" s="35" t="s">
        <v>58</v>
      </c>
      <c r="G36" s="6" t="s">
        <v>36</v>
      </c>
      <c r="H36" s="19"/>
      <c r="I36" s="44">
        <v>45897</v>
      </c>
      <c r="J36" s="44">
        <v>45908</v>
      </c>
      <c r="K36" s="39">
        <f t="shared" si="0"/>
        <v>11</v>
      </c>
    </row>
    <row r="37" spans="1:16" ht="15.5" x14ac:dyDescent="0.35">
      <c r="A37" s="15" t="s">
        <v>98</v>
      </c>
      <c r="B37" s="19"/>
      <c r="C37" s="19"/>
      <c r="D37" s="19"/>
      <c r="E37" s="35" t="s">
        <v>63</v>
      </c>
      <c r="F37" s="35" t="s">
        <v>60</v>
      </c>
      <c r="G37" s="6" t="s">
        <v>36</v>
      </c>
      <c r="H37" s="19"/>
      <c r="I37" s="8">
        <v>45912</v>
      </c>
      <c r="J37" s="8">
        <v>45919</v>
      </c>
      <c r="K37" s="39">
        <f t="shared" si="0"/>
        <v>7</v>
      </c>
      <c r="L37" s="8">
        <v>45922</v>
      </c>
      <c r="M37" s="8"/>
      <c r="N37" s="8"/>
    </row>
    <row r="38" spans="1:16" ht="15.5" x14ac:dyDescent="0.35">
      <c r="A38" s="18" t="s">
        <v>23</v>
      </c>
      <c r="B38" s="27"/>
      <c r="C38" s="27"/>
      <c r="D38" s="27"/>
      <c r="E38" s="35"/>
      <c r="F38" s="35"/>
      <c r="G38" s="27"/>
      <c r="H38" s="27"/>
      <c r="I38" s="30"/>
      <c r="J38" s="30"/>
      <c r="K38" s="43"/>
      <c r="L38" s="30"/>
      <c r="M38" s="30"/>
      <c r="N38" s="30"/>
      <c r="O38" s="30"/>
    </row>
    <row r="39" spans="1:16" ht="15.5" x14ac:dyDescent="0.35">
      <c r="A39" s="15" t="s">
        <v>86</v>
      </c>
      <c r="B39" s="19" t="s">
        <v>83</v>
      </c>
      <c r="C39" s="19"/>
      <c r="D39" s="19"/>
      <c r="E39" s="35" t="s">
        <v>63</v>
      </c>
      <c r="F39" s="35" t="s">
        <v>58</v>
      </c>
      <c r="G39" s="6" t="s">
        <v>29</v>
      </c>
      <c r="H39" s="19" t="s">
        <v>77</v>
      </c>
      <c r="I39" s="8">
        <v>45918</v>
      </c>
      <c r="J39" s="8"/>
      <c r="P39" s="12" t="s">
        <v>37</v>
      </c>
    </row>
    <row r="40" spans="1:16" ht="15.5" x14ac:dyDescent="0.35">
      <c r="A40" s="15" t="s">
        <v>85</v>
      </c>
      <c r="B40" s="19" t="s">
        <v>83</v>
      </c>
      <c r="C40" s="19"/>
      <c r="D40" s="19"/>
      <c r="E40" s="35" t="s">
        <v>63</v>
      </c>
      <c r="F40" s="35" t="s">
        <v>58</v>
      </c>
      <c r="G40" s="6" t="s">
        <v>29</v>
      </c>
      <c r="H40" s="19" t="s">
        <v>77</v>
      </c>
      <c r="I40" s="8">
        <v>45924</v>
      </c>
      <c r="J40" s="8"/>
    </row>
    <row r="41" spans="1:16" ht="15.5" x14ac:dyDescent="0.35">
      <c r="A41" s="15" t="s">
        <v>84</v>
      </c>
      <c r="B41" s="19" t="s">
        <v>83</v>
      </c>
      <c r="C41" s="19"/>
      <c r="D41" s="19"/>
      <c r="E41" s="35" t="s">
        <v>63</v>
      </c>
      <c r="F41" s="35" t="s">
        <v>58</v>
      </c>
      <c r="G41" s="6" t="s">
        <v>36</v>
      </c>
      <c r="H41" s="19" t="s">
        <v>77</v>
      </c>
      <c r="I41" s="8">
        <v>45920</v>
      </c>
      <c r="J41" s="8"/>
    </row>
    <row r="42" spans="1:16" ht="15.5" x14ac:dyDescent="0.35">
      <c r="A42" s="15" t="s">
        <v>87</v>
      </c>
      <c r="B42" s="19" t="s">
        <v>94</v>
      </c>
      <c r="C42" s="19"/>
      <c r="D42" s="19"/>
      <c r="E42" s="35" t="s">
        <v>63</v>
      </c>
      <c r="F42" s="35" t="s">
        <v>58</v>
      </c>
      <c r="G42" s="6" t="s">
        <v>36</v>
      </c>
      <c r="H42" s="19" t="s">
        <v>77</v>
      </c>
      <c r="I42" s="8">
        <v>45924</v>
      </c>
      <c r="J42" s="8"/>
    </row>
    <row r="43" spans="1:16" ht="15.5" x14ac:dyDescent="0.35">
      <c r="A43" s="15" t="s">
        <v>95</v>
      </c>
      <c r="B43" s="19" t="s">
        <v>94</v>
      </c>
      <c r="C43" s="19"/>
      <c r="D43" s="19"/>
      <c r="E43" s="35" t="s">
        <v>63</v>
      </c>
      <c r="F43" s="35" t="s">
        <v>59</v>
      </c>
      <c r="G43" s="6" t="s">
        <v>36</v>
      </c>
      <c r="H43" s="19" t="s">
        <v>77</v>
      </c>
      <c r="I43" s="8">
        <v>45929</v>
      </c>
      <c r="J43" s="8"/>
    </row>
    <row r="44" spans="1:16" ht="15.5" x14ac:dyDescent="0.35">
      <c r="A44" s="18" t="s">
        <v>24</v>
      </c>
      <c r="B44" s="27"/>
      <c r="C44" s="27"/>
      <c r="D44" s="27"/>
      <c r="E44" s="35"/>
      <c r="F44" s="35"/>
      <c r="H44" s="27"/>
    </row>
    <row r="45" spans="1:16" ht="15.5" x14ac:dyDescent="0.35">
      <c r="A45" s="15" t="s">
        <v>88</v>
      </c>
      <c r="B45" s="19"/>
      <c r="C45" s="19"/>
      <c r="D45" s="19"/>
      <c r="E45" s="35" t="s">
        <v>63</v>
      </c>
      <c r="F45" s="35" t="s">
        <v>58</v>
      </c>
      <c r="G45" s="6" t="s">
        <v>29</v>
      </c>
      <c r="H45" s="19"/>
      <c r="I45" s="8">
        <v>45929</v>
      </c>
      <c r="J45" s="8"/>
    </row>
    <row r="46" spans="1:16" ht="15.5" x14ac:dyDescent="0.35">
      <c r="A46" s="15" t="s">
        <v>89</v>
      </c>
      <c r="B46" s="19"/>
      <c r="C46" s="19"/>
      <c r="D46" s="19"/>
      <c r="E46" s="35" t="s">
        <v>63</v>
      </c>
      <c r="F46" s="35" t="s">
        <v>59</v>
      </c>
      <c r="G46" s="6" t="s">
        <v>36</v>
      </c>
      <c r="H46" s="19"/>
    </row>
    <row r="47" spans="1:16" ht="15.5" x14ac:dyDescent="0.35">
      <c r="A47" s="15" t="s">
        <v>90</v>
      </c>
      <c r="B47" s="19"/>
      <c r="C47" s="19"/>
      <c r="D47" s="19"/>
      <c r="E47" s="35" t="s">
        <v>63</v>
      </c>
      <c r="F47" s="35" t="s">
        <v>58</v>
      </c>
      <c r="G47" s="6" t="s">
        <v>29</v>
      </c>
      <c r="H47" s="19"/>
    </row>
    <row r="48" spans="1:16" ht="15.5" x14ac:dyDescent="0.35">
      <c r="A48" s="18" t="s">
        <v>25</v>
      </c>
      <c r="B48" s="27"/>
      <c r="C48" s="27"/>
      <c r="D48" s="27"/>
      <c r="E48" s="35"/>
      <c r="F48" s="35"/>
      <c r="H48" s="27"/>
    </row>
    <row r="49" spans="1:16" ht="15.5" x14ac:dyDescent="0.35">
      <c r="A49" s="15" t="s">
        <v>91</v>
      </c>
      <c r="B49" s="19"/>
      <c r="C49" s="19"/>
      <c r="D49" s="19"/>
      <c r="E49" s="35"/>
      <c r="F49" s="35"/>
      <c r="H49" s="19"/>
      <c r="L49" s="8">
        <v>45923</v>
      </c>
      <c r="M49" s="8"/>
      <c r="N49" s="8"/>
    </row>
    <row r="50" spans="1:16" ht="15.5" x14ac:dyDescent="0.35">
      <c r="A50" s="18" t="s">
        <v>26</v>
      </c>
      <c r="B50" s="27"/>
      <c r="C50" s="27"/>
      <c r="D50" s="27"/>
      <c r="E50" s="35"/>
      <c r="F50" s="35"/>
      <c r="H50" s="27"/>
    </row>
    <row r="51" spans="1:16" ht="15.5" x14ac:dyDescent="0.35">
      <c r="A51" s="14" t="s">
        <v>92</v>
      </c>
      <c r="B51" s="19"/>
      <c r="C51" s="19"/>
      <c r="D51" s="19"/>
      <c r="E51" s="35"/>
      <c r="F51" s="35"/>
      <c r="G51" s="6" t="s">
        <v>29</v>
      </c>
      <c r="H51" s="19"/>
      <c r="I51" s="8">
        <v>45898</v>
      </c>
      <c r="J51" s="8"/>
      <c r="L51" s="8">
        <v>45918</v>
      </c>
      <c r="M51" s="8"/>
      <c r="N51" s="8"/>
    </row>
    <row r="52" spans="1:16" ht="15.5" x14ac:dyDescent="0.35">
      <c r="A52" s="14" t="s">
        <v>93</v>
      </c>
      <c r="B52" s="19"/>
      <c r="C52" s="19"/>
      <c r="D52" s="19"/>
      <c r="E52" s="35"/>
      <c r="F52" s="35"/>
      <c r="G52" s="6" t="s">
        <v>29</v>
      </c>
      <c r="H52" s="19"/>
      <c r="I52" s="8">
        <v>45898</v>
      </c>
      <c r="J52" s="8"/>
      <c r="L52" s="8">
        <v>45918</v>
      </c>
      <c r="M52" s="8"/>
      <c r="N52" s="8"/>
    </row>
    <row r="53" spans="1:16" ht="15.5" x14ac:dyDescent="0.35">
      <c r="A53" s="20"/>
      <c r="B53" s="38"/>
      <c r="C53" s="38"/>
      <c r="D53" s="38"/>
      <c r="E53" s="35"/>
      <c r="F53" s="35"/>
      <c r="H53" s="38"/>
    </row>
    <row r="54" spans="1:16" ht="15.5" x14ac:dyDescent="0.35">
      <c r="A54" s="18" t="s">
        <v>12</v>
      </c>
      <c r="B54" s="27"/>
      <c r="C54" s="27"/>
      <c r="D54" s="27"/>
      <c r="E54" s="35"/>
      <c r="F54" s="35"/>
      <c r="H54" s="27"/>
    </row>
    <row r="55" spans="1:16" ht="21" x14ac:dyDescent="0.5">
      <c r="A55" s="14" t="s">
        <v>74</v>
      </c>
      <c r="B55" s="19" t="s">
        <v>70</v>
      </c>
      <c r="C55" s="19"/>
      <c r="D55" s="19">
        <v>1600</v>
      </c>
      <c r="E55" s="35" t="s">
        <v>63</v>
      </c>
      <c r="F55" s="35" t="s">
        <v>63</v>
      </c>
      <c r="G55" s="6" t="s">
        <v>32</v>
      </c>
      <c r="H55" s="19" t="s">
        <v>71</v>
      </c>
      <c r="I55" s="8">
        <v>45905</v>
      </c>
      <c r="J55" s="8">
        <v>45912</v>
      </c>
      <c r="K55" s="39">
        <f>_xlfn.DAYS(J55,I55)</f>
        <v>7</v>
      </c>
      <c r="L55" s="8">
        <v>45912</v>
      </c>
      <c r="M55" s="8"/>
      <c r="N55" s="8"/>
      <c r="P55" s="24" t="s">
        <v>76</v>
      </c>
    </row>
    <row r="56" spans="1:16" ht="15.5" x14ac:dyDescent="0.35">
      <c r="A56" s="3" t="s">
        <v>73</v>
      </c>
      <c r="B56" s="19" t="s">
        <v>68</v>
      </c>
      <c r="C56" s="19"/>
      <c r="D56" s="19">
        <v>4000</v>
      </c>
      <c r="E56" s="35" t="s">
        <v>63</v>
      </c>
      <c r="F56" s="35" t="s">
        <v>61</v>
      </c>
      <c r="G56" s="6" t="s">
        <v>28</v>
      </c>
      <c r="H56" s="19" t="s">
        <v>69</v>
      </c>
      <c r="K56" s="39">
        <f t="shared" ref="K56:K59" si="1">_xlfn.DAYS(J56,I56)</f>
        <v>0</v>
      </c>
    </row>
    <row r="57" spans="1:16" ht="15.5" x14ac:dyDescent="0.35">
      <c r="A57" s="14" t="s">
        <v>72</v>
      </c>
      <c r="B57" s="19" t="s">
        <v>70</v>
      </c>
      <c r="C57" s="19"/>
      <c r="D57" s="19">
        <v>1600</v>
      </c>
      <c r="E57" s="35" t="s">
        <v>63</v>
      </c>
      <c r="F57" s="35" t="s">
        <v>63</v>
      </c>
      <c r="G57" s="6" t="s">
        <v>36</v>
      </c>
      <c r="H57" s="19" t="s">
        <v>71</v>
      </c>
      <c r="I57" s="8">
        <v>45919</v>
      </c>
      <c r="J57" s="8">
        <v>45921</v>
      </c>
      <c r="K57" s="39">
        <f t="shared" si="1"/>
        <v>2</v>
      </c>
    </row>
    <row r="58" spans="1:16" ht="15.5" x14ac:dyDescent="0.35">
      <c r="A58" s="3" t="s">
        <v>66</v>
      </c>
      <c r="B58" s="19" t="s">
        <v>78</v>
      </c>
      <c r="C58" s="19"/>
      <c r="D58" s="19">
        <v>4000</v>
      </c>
      <c r="E58" s="35" t="s">
        <v>63</v>
      </c>
      <c r="F58" s="35" t="s">
        <v>58</v>
      </c>
      <c r="G58" s="6" t="s">
        <v>32</v>
      </c>
      <c r="H58" s="19" t="s">
        <v>71</v>
      </c>
      <c r="K58" s="39">
        <f t="shared" si="1"/>
        <v>0</v>
      </c>
    </row>
    <row r="59" spans="1:16" ht="15.5" x14ac:dyDescent="0.35">
      <c r="A59" s="3" t="s">
        <v>65</v>
      </c>
      <c r="B59" s="19" t="s">
        <v>67</v>
      </c>
      <c r="C59" s="19"/>
      <c r="D59" s="19">
        <v>2000</v>
      </c>
      <c r="E59" s="35" t="s">
        <v>63</v>
      </c>
      <c r="F59" s="35" t="s">
        <v>62</v>
      </c>
      <c r="G59" s="6" t="s">
        <v>32</v>
      </c>
      <c r="H59" s="19" t="s">
        <v>69</v>
      </c>
      <c r="I59" s="8">
        <v>45912</v>
      </c>
      <c r="J59" s="8">
        <v>45933</v>
      </c>
      <c r="K59" s="39">
        <f t="shared" si="1"/>
        <v>21</v>
      </c>
    </row>
    <row r="60" spans="1:16" ht="15.5" x14ac:dyDescent="0.35">
      <c r="A60" s="3" t="s">
        <v>75</v>
      </c>
      <c r="B60" s="19" t="s">
        <v>68</v>
      </c>
      <c r="C60" s="19"/>
      <c r="D60" s="19">
        <v>4000</v>
      </c>
      <c r="E60" s="35" t="s">
        <v>63</v>
      </c>
      <c r="F60" s="35" t="s">
        <v>61</v>
      </c>
      <c r="G60" s="6" t="s">
        <v>32</v>
      </c>
      <c r="H60" s="19" t="s">
        <v>64</v>
      </c>
    </row>
    <row r="61" spans="1:16" ht="15.5" x14ac:dyDescent="0.35">
      <c r="A61" s="3"/>
      <c r="B61" s="19"/>
      <c r="C61" s="19"/>
      <c r="D61" s="19"/>
      <c r="E61" s="35"/>
      <c r="F61" s="33"/>
      <c r="H61" s="19"/>
    </row>
    <row r="62" spans="1:16" ht="15.5" x14ac:dyDescent="0.35">
      <c r="A62" s="2" t="s">
        <v>39</v>
      </c>
      <c r="B62" s="27"/>
      <c r="C62" s="27"/>
      <c r="D62" s="27"/>
      <c r="E62" s="37"/>
      <c r="F62" s="45"/>
      <c r="G62" s="6" t="s">
        <v>28</v>
      </c>
      <c r="H62" s="27"/>
      <c r="I62" s="8">
        <v>45925</v>
      </c>
      <c r="J62" s="8"/>
    </row>
    <row r="64" spans="1:16" x14ac:dyDescent="0.35">
      <c r="A64" s="16" t="s">
        <v>33</v>
      </c>
    </row>
    <row r="65" spans="1:8" x14ac:dyDescent="0.35">
      <c r="A65" s="16" t="s">
        <v>34</v>
      </c>
    </row>
    <row r="66" spans="1:8" x14ac:dyDescent="0.35">
      <c r="A66" s="16" t="s">
        <v>35</v>
      </c>
    </row>
    <row r="67" spans="1:8" x14ac:dyDescent="0.35">
      <c r="A67" s="16" t="s">
        <v>38</v>
      </c>
    </row>
    <row r="68" spans="1:8" x14ac:dyDescent="0.35">
      <c r="A68" s="1" t="s">
        <v>44</v>
      </c>
    </row>
    <row r="69" spans="1:8" x14ac:dyDescent="0.35">
      <c r="A69" s="11" t="s">
        <v>104</v>
      </c>
      <c r="C69" s="44">
        <v>45924</v>
      </c>
    </row>
    <row r="70" spans="1:8" x14ac:dyDescent="0.35">
      <c r="A70" s="6" t="s">
        <v>106</v>
      </c>
      <c r="B70" s="21" t="s">
        <v>107</v>
      </c>
      <c r="D70" s="21">
        <v>3000</v>
      </c>
      <c r="E70" s="36" t="s">
        <v>63</v>
      </c>
      <c r="F70" s="42">
        <v>3</v>
      </c>
      <c r="H70" s="21" t="s">
        <v>77</v>
      </c>
    </row>
    <row r="71" spans="1:8" x14ac:dyDescent="0.35">
      <c r="A71" s="6" t="s">
        <v>108</v>
      </c>
      <c r="B71" s="21" t="s">
        <v>112</v>
      </c>
      <c r="D71" s="21">
        <v>2000</v>
      </c>
      <c r="E71" s="36" t="s">
        <v>63</v>
      </c>
      <c r="F71" s="42">
        <v>3</v>
      </c>
      <c r="H71" s="21" t="s">
        <v>77</v>
      </c>
    </row>
    <row r="72" spans="1:8" x14ac:dyDescent="0.35">
      <c r="A72" s="6" t="s">
        <v>109</v>
      </c>
      <c r="B72" s="21" t="s">
        <v>110</v>
      </c>
      <c r="D72" s="21">
        <v>2500</v>
      </c>
      <c r="E72" s="36" t="s">
        <v>63</v>
      </c>
      <c r="F72" s="42">
        <v>3</v>
      </c>
      <c r="H72" s="21" t="s">
        <v>77</v>
      </c>
    </row>
    <row r="73" spans="1:8" x14ac:dyDescent="0.35">
      <c r="A73" s="6" t="s">
        <v>111</v>
      </c>
      <c r="B73" s="21" t="s">
        <v>112</v>
      </c>
      <c r="D73" s="21">
        <v>2000</v>
      </c>
      <c r="E73" s="36" t="s">
        <v>63</v>
      </c>
      <c r="F73" s="42">
        <v>3</v>
      </c>
      <c r="H73" s="21" t="s">
        <v>77</v>
      </c>
    </row>
  </sheetData>
  <mergeCells count="2">
    <mergeCell ref="I28:O28"/>
    <mergeCell ref="E3:F3"/>
  </mergeCells>
  <phoneticPr fontId="11" type="noConversion"/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9CA9-0F5A-418D-A109-40CBAC09C9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Dempsey</dc:creator>
  <cp:lastModifiedBy>Pat Dempsey</cp:lastModifiedBy>
  <dcterms:created xsi:type="dcterms:W3CDTF">2025-08-26T11:43:58Z</dcterms:created>
  <dcterms:modified xsi:type="dcterms:W3CDTF">2025-09-24T17:43:46Z</dcterms:modified>
</cp:coreProperties>
</file>